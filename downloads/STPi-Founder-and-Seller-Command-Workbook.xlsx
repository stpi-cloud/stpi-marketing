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ily_Social_Matrix" sheetId="1" state="visible" r:id="rId1"/>
    <sheet xmlns:r="http://schemas.openxmlformats.org/officeDocument/2006/relationships" name="2_Daily_Checklist" sheetId="2" state="visible" r:id="rId2"/>
    <sheet xmlns:r="http://schemas.openxmlformats.org/officeDocument/2006/relationships" name="3_CRM_Who_We_Talked_To" sheetId="3" state="visible" r:id="rId3"/>
    <sheet xmlns:r="http://schemas.openxmlformats.org/officeDocument/2006/relationships" name="4_Tomorrow_Queue" sheetId="4" state="visible" r:id="rId4"/>
    <sheet xmlns:r="http://schemas.openxmlformats.org/officeDocument/2006/relationships" name="5_Seller_Scoreboard" sheetId="5" state="visible" r:id="rId5"/>
    <sheet xmlns:r="http://schemas.openxmlformats.org/officeDocument/2006/relationships" name="6_Dec16_10K_8K_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D60A"/>
      <sz val="11"/>
    </font>
    <font>
      <name val="Calibri"/>
      <b val="1"/>
      <color rgb="00FFFFFF"/>
      <sz val="10"/>
    </font>
    <font>
      <name val="Calibri"/>
      <b val="1"/>
      <color rgb="000A192F"/>
      <sz val="10"/>
    </font>
    <font>
      <name val="Calibri"/>
      <color rgb="00111827"/>
      <sz val="10"/>
    </font>
  </fonts>
  <fills count="6">
    <fill>
      <patternFill/>
    </fill>
    <fill>
      <patternFill patternType="gray125"/>
    </fill>
    <fill>
      <patternFill patternType="solid">
        <fgColor rgb="000A192F"/>
      </patternFill>
    </fill>
    <fill>
      <patternFill patternType="solid">
        <fgColor rgb="00132F5C"/>
      </patternFill>
    </fill>
    <fill>
      <patternFill patternType="solid">
        <fgColor rgb="00E0F2F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2" fillId="2" borderId="0" pivotButton="0" quotePrefix="0" xfId="0"/>
    <xf numFmtId="0" fontId="2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Date</t>
        </is>
      </c>
      <c r="B1" s="1" t="inlineStr"/>
      <c r="C1" s="1" t="inlineStr">
        <is>
          <t>18 October 2026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>
        <is>
          <t>Dimensions</t>
        </is>
      </c>
      <c r="B2" s="2" t="inlineStr"/>
      <c r="C2" s="2" t="inlineStr">
        <is>
          <t>posts</t>
        </is>
      </c>
      <c r="D2" s="2" t="inlineStr"/>
      <c r="E2" s="2" t="inlineStr">
        <is>
          <t>followers</t>
        </is>
      </c>
      <c r="F2" s="2" t="inlineStr"/>
      <c r="G2" s="2" t="inlineStr">
        <is>
          <t>following</t>
        </is>
      </c>
      <c r="H2" s="2" t="inlineStr"/>
      <c r="I2" s="2" t="inlineStr">
        <is>
          <t>comments</t>
        </is>
      </c>
      <c r="J2" s="2" t="inlineStr"/>
      <c r="K2" s="2" t="inlineStr">
        <is>
          <t>dms</t>
        </is>
      </c>
      <c r="L2" s="2" t="inlineStr"/>
    </row>
    <row r="3">
      <c r="A3" s="3" t="inlineStr">
        <is>
          <t>Method | Profile</t>
        </is>
      </c>
      <c r="B3" s="3" t="inlineStr">
        <is>
          <t>Platform</t>
        </is>
      </c>
      <c r="C3" s="3" t="inlineStr">
        <is>
          <t>simali</t>
        </is>
      </c>
      <c r="D3" s="3" t="inlineStr">
        <is>
          <t>tafa</t>
        </is>
      </c>
      <c r="E3" s="3" t="inlineStr">
        <is>
          <t>simali</t>
        </is>
      </c>
      <c r="F3" s="3" t="inlineStr">
        <is>
          <t>tafa</t>
        </is>
      </c>
      <c r="G3" s="3" t="inlineStr">
        <is>
          <t>simali</t>
        </is>
      </c>
      <c r="H3" s="3" t="inlineStr">
        <is>
          <t>tafa</t>
        </is>
      </c>
      <c r="I3" s="3" t="inlineStr">
        <is>
          <t>simali</t>
        </is>
      </c>
      <c r="J3" s="3" t="inlineStr">
        <is>
          <t>tafa</t>
        </is>
      </c>
      <c r="K3" s="3" t="inlineStr">
        <is>
          <t>simali</t>
        </is>
      </c>
      <c r="L3" s="3" t="inlineStr">
        <is>
          <t>tafa</t>
        </is>
      </c>
    </row>
    <row r="4">
      <c r="A4" s="4" t="inlineStr">
        <is>
          <t>Buffer_A</t>
        </is>
      </c>
      <c r="B4" s="4" t="inlineStr">
        <is>
          <t>x</t>
        </is>
      </c>
      <c r="C4" s="5" t="n">
        <v>0</v>
      </c>
      <c r="D4" s="5" t="n">
        <v>0</v>
      </c>
      <c r="E4" s="5" t="inlineStr"/>
      <c r="F4" s="5" t="inlineStr"/>
      <c r="G4" s="5" t="inlineStr"/>
      <c r="H4" s="5" t="inlineStr"/>
      <c r="I4" s="5" t="n">
        <v>0</v>
      </c>
      <c r="J4" s="5" t="n">
        <v>0</v>
      </c>
      <c r="K4" s="5" t="n">
        <v>0</v>
      </c>
      <c r="L4" s="5" t="n">
        <v>0</v>
      </c>
    </row>
    <row r="5">
      <c r="A5" s="4" t="inlineStr"/>
      <c r="B5" s="4" t="inlineStr">
        <is>
          <t>linkedin</t>
        </is>
      </c>
      <c r="C5" s="5" t="n">
        <v>0</v>
      </c>
      <c r="D5" s="5" t="n">
        <v>0</v>
      </c>
      <c r="E5" s="5" t="inlineStr"/>
      <c r="F5" s="5" t="inlineStr"/>
      <c r="G5" s="5" t="inlineStr"/>
      <c r="H5" s="5" t="inlineStr"/>
      <c r="I5" s="5" t="n">
        <v>0</v>
      </c>
      <c r="J5" s="5" t="n">
        <v>0</v>
      </c>
      <c r="K5" s="5" t="n">
        <v>0</v>
      </c>
      <c r="L5" s="5" t="n">
        <v>0</v>
      </c>
    </row>
    <row r="6">
      <c r="A6" s="4" t="inlineStr"/>
      <c r="B6" s="4" t="inlineStr">
        <is>
          <t>pinterest</t>
        </is>
      </c>
      <c r="C6" s="5" t="n">
        <v>0</v>
      </c>
      <c r="D6" s="5" t="n">
        <v>0</v>
      </c>
      <c r="E6" s="5" t="inlineStr"/>
      <c r="F6" s="5" t="inlineStr"/>
      <c r="G6" s="5" t="inlineStr"/>
      <c r="H6" s="5" t="inlineStr"/>
      <c r="I6" s="5" t="n">
        <v>0</v>
      </c>
      <c r="J6" s="5" t="n">
        <v>0</v>
      </c>
      <c r="K6" s="5" t="n">
        <v>0</v>
      </c>
      <c r="L6" s="5" t="n">
        <v>0</v>
      </c>
    </row>
    <row r="7">
      <c r="A7" s="4" t="inlineStr">
        <is>
          <t>Buffer_B</t>
        </is>
      </c>
      <c r="B7" s="4" t="inlineStr">
        <is>
          <t>facebook</t>
        </is>
      </c>
      <c r="C7" s="5" t="n">
        <v>0</v>
      </c>
      <c r="D7" s="5" t="n">
        <v>0</v>
      </c>
      <c r="E7" s="5" t="inlineStr"/>
      <c r="F7" s="5" t="inlineStr"/>
      <c r="G7" s="5" t="inlineStr"/>
      <c r="H7" s="5" t="inlineStr"/>
      <c r="I7" s="5" t="n">
        <v>0</v>
      </c>
      <c r="J7" s="5" t="n">
        <v>0</v>
      </c>
      <c r="K7" s="5" t="n">
        <v>0</v>
      </c>
      <c r="L7" s="5" t="n">
        <v>0</v>
      </c>
    </row>
    <row r="8">
      <c r="A8" s="4" t="inlineStr"/>
      <c r="B8" s="4" t="inlineStr">
        <is>
          <t>instagram</t>
        </is>
      </c>
      <c r="C8" s="5" t="n">
        <v>0</v>
      </c>
      <c r="D8" s="5" t="n">
        <v>0</v>
      </c>
      <c r="E8" s="5" t="inlineStr"/>
      <c r="F8" s="5" t="inlineStr"/>
      <c r="G8" s="5" t="inlineStr"/>
      <c r="H8" s="5" t="inlineStr"/>
      <c r="I8" s="5" t="n">
        <v>0</v>
      </c>
      <c r="J8" s="5" t="n">
        <v>0</v>
      </c>
      <c r="K8" s="5" t="n">
        <v>0</v>
      </c>
      <c r="L8" s="5" t="n">
        <v>0</v>
      </c>
    </row>
    <row r="9">
      <c r="A9" s="4" t="inlineStr"/>
      <c r="B9" s="4" t="inlineStr">
        <is>
          <t>threads</t>
        </is>
      </c>
      <c r="C9" s="5" t="n">
        <v>0</v>
      </c>
      <c r="D9" s="5" t="n">
        <v>0</v>
      </c>
      <c r="E9" s="5" t="inlineStr"/>
      <c r="F9" s="5" t="inlineStr"/>
      <c r="G9" s="5" t="inlineStr"/>
      <c r="H9" s="5" t="inlineStr"/>
      <c r="I9" s="5" t="n">
        <v>0</v>
      </c>
      <c r="J9" s="5" t="n">
        <v>0</v>
      </c>
      <c r="K9" s="5" t="n">
        <v>0</v>
      </c>
      <c r="L9" s="5" t="n">
        <v>0</v>
      </c>
    </row>
    <row r="10">
      <c r="A10" s="4" t="inlineStr">
        <is>
          <t>Buffer_C</t>
        </is>
      </c>
      <c r="B10" s="4" t="inlineStr">
        <is>
          <t>youtube</t>
        </is>
      </c>
      <c r="C10" s="5" t="n">
        <v>0</v>
      </c>
      <c r="D10" s="5" t="n">
        <v>0</v>
      </c>
      <c r="E10" s="5" t="inlineStr"/>
      <c r="F10" s="5" t="inlineStr"/>
      <c r="G10" s="5" t="inlineStr"/>
      <c r="H10" s="5" t="inlineStr"/>
      <c r="I10" s="5" t="n">
        <v>0</v>
      </c>
      <c r="J10" s="5" t="n">
        <v>0</v>
      </c>
      <c r="K10" s="5" t="n">
        <v>0</v>
      </c>
      <c r="L10" s="5" t="n">
        <v>0</v>
      </c>
    </row>
    <row r="11">
      <c r="A11" s="4" t="inlineStr"/>
      <c r="B11" s="4" t="inlineStr">
        <is>
          <t>tiktok</t>
        </is>
      </c>
      <c r="C11" s="5" t="n">
        <v>0</v>
      </c>
      <c r="D11" s="5" t="n">
        <v>0</v>
      </c>
      <c r="E11" s="5" t="inlineStr"/>
      <c r="F11" s="5" t="inlineStr"/>
      <c r="G11" s="5" t="inlineStr"/>
      <c r="H11" s="5" t="inlineStr"/>
      <c r="I11" s="5" t="n">
        <v>0</v>
      </c>
      <c r="J11" s="5" t="n">
        <v>0</v>
      </c>
      <c r="K11" s="5" t="n">
        <v>0</v>
      </c>
      <c r="L11" s="5" t="n">
        <v>0</v>
      </c>
    </row>
    <row r="12">
      <c r="A12" s="4" t="inlineStr"/>
      <c r="B12" s="4" t="inlineStr">
        <is>
          <t>gbp</t>
        </is>
      </c>
      <c r="C12" s="5" t="n">
        <v>0</v>
      </c>
      <c r="D12" s="5" t="n">
        <v>0</v>
      </c>
      <c r="E12" s="5" t="inlineStr"/>
      <c r="F12" s="5" t="inlineStr"/>
      <c r="G12" s="5" t="inlineStr"/>
      <c r="H12" s="5" t="inlineStr"/>
      <c r="I12" s="5" t="n">
        <v>0</v>
      </c>
      <c r="J12" s="5" t="n">
        <v>0</v>
      </c>
      <c r="K12" s="5" t="n">
        <v>0</v>
      </c>
      <c r="L12" s="5" t="n">
        <v>0</v>
      </c>
    </row>
    <row r="13">
      <c r="A13" s="4" t="inlineStr">
        <is>
          <t>Native</t>
        </is>
      </c>
      <c r="B13" s="4" t="inlineStr">
        <is>
          <t>bluesky</t>
        </is>
      </c>
      <c r="C13" s="5" t="n">
        <v>0</v>
      </c>
      <c r="D13" s="5" t="n">
        <v>0</v>
      </c>
      <c r="E13" s="5" t="inlineStr"/>
      <c r="F13" s="5" t="inlineStr"/>
      <c r="G13" s="5" t="inlineStr"/>
      <c r="H13" s="5" t="inlineStr"/>
      <c r="I13" s="5" t="n">
        <v>0</v>
      </c>
      <c r="J13" s="5" t="n">
        <v>0</v>
      </c>
      <c r="K13" s="5" t="n">
        <v>0</v>
      </c>
      <c r="L13" s="5" t="n">
        <v>0</v>
      </c>
    </row>
    <row r="14">
      <c r="A14" s="4" t="inlineStr"/>
      <c r="B14" s="4" t="inlineStr">
        <is>
          <t>dev.to</t>
        </is>
      </c>
      <c r="C14" s="5" t="n">
        <v>0</v>
      </c>
      <c r="D14" s="5" t="n">
        <v>0</v>
      </c>
      <c r="E14" s="5" t="inlineStr"/>
      <c r="F14" s="5" t="inlineStr"/>
      <c r="G14" s="5" t="inlineStr"/>
      <c r="H14" s="5" t="inlineStr"/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4" t="inlineStr"/>
      <c r="B15" s="4" t="inlineStr">
        <is>
          <t>hashnode</t>
        </is>
      </c>
      <c r="C15" s="5" t="n">
        <v>0</v>
      </c>
      <c r="D15" s="5" t="n">
        <v>0</v>
      </c>
      <c r="E15" s="5" t="inlineStr"/>
      <c r="F15" s="5" t="inlineStr"/>
      <c r="G15" s="5" t="inlineStr"/>
      <c r="H15" s="5" t="inlineStr"/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4" t="inlineStr"/>
      <c r="B16" s="4" t="inlineStr">
        <is>
          <t>mastodon</t>
        </is>
      </c>
      <c r="C16" s="5" t="n">
        <v>0</v>
      </c>
      <c r="D16" s="5" t="n">
        <v>0</v>
      </c>
      <c r="E16" s="5" t="inlineStr"/>
      <c r="F16" s="5" t="inlineStr"/>
      <c r="G16" s="5" t="inlineStr"/>
      <c r="H16" s="5" t="inlineStr"/>
      <c r="I16" s="5" t="n">
        <v>0</v>
      </c>
      <c r="J16" s="5" t="n">
        <v>0</v>
      </c>
      <c r="K16" s="5" t="n">
        <v>0</v>
      </c>
      <c r="L16" s="5" t="n">
        <v>0</v>
      </c>
    </row>
    <row r="17">
      <c r="A17" s="4" t="inlineStr"/>
      <c r="B17" s="4" t="inlineStr">
        <is>
          <t>whop</t>
        </is>
      </c>
      <c r="C17" s="5" t="n">
        <v>0</v>
      </c>
      <c r="D17" s="5" t="n">
        <v>0</v>
      </c>
      <c r="E17" s="5" t="inlineStr"/>
      <c r="F17" s="5" t="inlineStr"/>
      <c r="G17" s="5" t="inlineStr"/>
      <c r="H17" s="5" t="inlineStr"/>
      <c r="I17" s="5" t="n">
        <v>0</v>
      </c>
      <c r="J17" s="5" t="n">
        <v>0</v>
      </c>
      <c r="K17" s="5" t="n">
        <v>0</v>
      </c>
      <c r="L17" s="5" t="n">
        <v>0</v>
      </c>
    </row>
    <row r="18">
      <c r="A18" s="4" t="inlineStr"/>
      <c r="B18" s="4" t="inlineStr">
        <is>
          <t>github</t>
        </is>
      </c>
      <c r="C18" s="5" t="n">
        <v>0</v>
      </c>
      <c r="D18" s="5" t="n">
        <v>0</v>
      </c>
      <c r="E18" s="5" t="inlineStr"/>
      <c r="F18" s="5" t="inlineStr"/>
      <c r="G18" s="5" t="inlineStr"/>
      <c r="H18" s="5" t="inlineStr"/>
      <c r="I18" s="5" t="n">
        <v>0</v>
      </c>
      <c r="J18" s="5" t="n">
        <v>0</v>
      </c>
      <c r="K18" s="5" t="n">
        <v>0</v>
      </c>
      <c r="L18" s="5" t="n">
        <v>0</v>
      </c>
    </row>
    <row r="19">
      <c r="A19" s="4" t="inlineStr"/>
      <c r="B19" s="4" t="inlineStr">
        <is>
          <t>tumblr</t>
        </is>
      </c>
      <c r="C19" s="5" t="n">
        <v>0</v>
      </c>
      <c r="D19" s="5" t="n">
        <v>0</v>
      </c>
      <c r="E19" s="5" t="inlineStr"/>
      <c r="F19" s="5" t="inlineStr"/>
      <c r="G19" s="5" t="inlineStr"/>
      <c r="H19" s="5" t="inlineStr"/>
      <c r="I19" s="5" t="n">
        <v>0</v>
      </c>
      <c r="J19" s="5" t="n">
        <v>0</v>
      </c>
      <c r="K19" s="5" t="n">
        <v>0</v>
      </c>
      <c r="L19" s="5" t="n">
        <v>0</v>
      </c>
    </row>
    <row r="20">
      <c r="A20" s="4" t="inlineStr"/>
      <c r="B20" s="4" t="inlineStr">
        <is>
          <t>discord</t>
        </is>
      </c>
      <c r="C20" s="5" t="n">
        <v>0</v>
      </c>
      <c r="D20" s="5" t="n">
        <v>0</v>
      </c>
      <c r="E20" s="5" t="inlineStr"/>
      <c r="F20" s="5" t="inlineStr"/>
      <c r="G20" s="5" t="inlineStr"/>
      <c r="H20" s="5" t="inlineStr"/>
      <c r="I20" s="5" t="n">
        <v>0</v>
      </c>
      <c r="J20" s="5" t="n">
        <v>0</v>
      </c>
      <c r="K20" s="5" t="n">
        <v>0</v>
      </c>
      <c r="L20" s="5" t="n">
        <v>0</v>
      </c>
    </row>
    <row r="21">
      <c r="A21" s="4" t="inlineStr"/>
      <c r="B21" s="4" t="inlineStr">
        <is>
          <t>telegram</t>
        </is>
      </c>
      <c r="C21" s="5" t="n">
        <v>0</v>
      </c>
      <c r="D21" s="5" t="n">
        <v>0</v>
      </c>
      <c r="E21" s="5" t="inlineStr"/>
      <c r="F21" s="5" t="inlineStr"/>
      <c r="G21" s="5" t="inlineStr"/>
      <c r="H21" s="5" t="inlineStr"/>
      <c r="I21" s="5" t="n">
        <v>0</v>
      </c>
      <c r="J21" s="5" t="n">
        <v>0</v>
      </c>
      <c r="K21" s="5" t="n">
        <v>0</v>
      </c>
      <c r="L21" s="5" t="n">
        <v>0</v>
      </c>
    </row>
    <row r="22">
      <c r="A22" s="4" t="inlineStr"/>
      <c r="B22" s="4" t="inlineStr">
        <is>
          <t>nostr</t>
        </is>
      </c>
      <c r="C22" s="5" t="n">
        <v>0</v>
      </c>
      <c r="D22" s="5" t="n">
        <v>0</v>
      </c>
      <c r="E22" s="5" t="inlineStr"/>
      <c r="F22" s="5" t="inlineStr"/>
      <c r="G22" s="5" t="inlineStr"/>
      <c r="H22" s="5" t="inlineStr"/>
      <c r="I22" s="5" t="n">
        <v>0</v>
      </c>
      <c r="J22" s="5" t="n">
        <v>0</v>
      </c>
      <c r="K22" s="5" t="n">
        <v>0</v>
      </c>
      <c r="L22" s="5" t="n">
        <v>0</v>
      </c>
    </row>
    <row r="23">
      <c r="A23" s="4" t="inlineStr"/>
      <c r="B23" s="4" t="inlineStr">
        <is>
          <t>blogspot</t>
        </is>
      </c>
      <c r="C23" s="5" t="n">
        <v>0</v>
      </c>
      <c r="D23" s="5" t="n">
        <v>0</v>
      </c>
      <c r="E23" s="5" t="inlineStr"/>
      <c r="F23" s="5" t="inlineStr"/>
      <c r="G23" s="5" t="inlineStr"/>
      <c r="H23" s="5" t="inlineStr"/>
      <c r="I23" s="5" t="n">
        <v>0</v>
      </c>
      <c r="J23" s="5" t="n">
        <v>0</v>
      </c>
      <c r="K23" s="5" t="n">
        <v>0</v>
      </c>
      <c r="L23" s="5" t="n">
        <v>0</v>
      </c>
    </row>
    <row r="24">
      <c r="A24" s="4" t="inlineStr">
        <is>
          <t>Manual</t>
        </is>
      </c>
      <c r="B24" s="4" t="inlineStr">
        <is>
          <t>reddit</t>
        </is>
      </c>
      <c r="C24" s="5" t="n">
        <v>0</v>
      </c>
      <c r="D24" s="5" t="n">
        <v>0</v>
      </c>
      <c r="E24" s="5" t="inlineStr"/>
      <c r="F24" s="5" t="inlineStr"/>
      <c r="G24" s="5" t="inlineStr"/>
      <c r="H24" s="5" t="inlineStr"/>
      <c r="I24" s="5" t="n">
        <v>0</v>
      </c>
      <c r="J24" s="5" t="n">
        <v>0</v>
      </c>
      <c r="K24" s="5" t="n">
        <v>0</v>
      </c>
      <c r="L24" s="5" t="n">
        <v>0</v>
      </c>
    </row>
    <row r="25">
      <c r="A25" s="4" t="inlineStr"/>
      <c r="B25" s="4" t="inlineStr">
        <is>
          <t>medium</t>
        </is>
      </c>
      <c r="C25" s="5" t="n">
        <v>0</v>
      </c>
      <c r="D25" s="5" t="n">
        <v>0</v>
      </c>
      <c r="E25" s="5" t="inlineStr"/>
      <c r="F25" s="5" t="inlineStr"/>
      <c r="G25" s="5" t="inlineStr"/>
      <c r="H25" s="5" t="inlineStr"/>
      <c r="I25" s="5" t="n">
        <v>0</v>
      </c>
      <c r="J25" s="5" t="n">
        <v>0</v>
      </c>
      <c r="K25" s="5" t="n">
        <v>0</v>
      </c>
      <c r="L25" s="5" t="n">
        <v>0</v>
      </c>
    </row>
    <row r="26">
      <c r="A26" s="4" t="inlineStr"/>
      <c r="B26" s="4" t="inlineStr">
        <is>
          <t>quora</t>
        </is>
      </c>
      <c r="C26" s="5" t="n">
        <v>0</v>
      </c>
      <c r="D26" s="5" t="n">
        <v>0</v>
      </c>
      <c r="E26" s="5" t="inlineStr"/>
      <c r="F26" s="5" t="inlineStr"/>
      <c r="G26" s="5" t="inlineStr"/>
      <c r="H26" s="5" t="inlineStr"/>
      <c r="I26" s="5" t="n">
        <v>0</v>
      </c>
      <c r="J26" s="5" t="n">
        <v>0</v>
      </c>
      <c r="K26" s="5" t="n">
        <v>0</v>
      </c>
      <c r="L26" s="5" t="n">
        <v>0</v>
      </c>
    </row>
    <row r="27">
      <c r="A27" s="4" t="inlineStr"/>
      <c r="B27" s="4" t="inlineStr">
        <is>
          <t>g. sites</t>
        </is>
      </c>
      <c r="C27" s="5" t="n">
        <v>0</v>
      </c>
      <c r="D27" s="5" t="n">
        <v>0</v>
      </c>
      <c r="E27" s="5" t="inlineStr"/>
      <c r="F27" s="5" t="inlineStr"/>
      <c r="G27" s="5" t="inlineStr"/>
      <c r="H27" s="5" t="inlineStr"/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4" t="inlineStr"/>
      <c r="B28" s="4" t="inlineStr">
        <is>
          <t>whatsapp_status</t>
        </is>
      </c>
      <c r="C28" s="5" t="n">
        <v>0</v>
      </c>
      <c r="D28" s="5" t="n">
        <v>0</v>
      </c>
      <c r="E28" s="5" t="inlineStr"/>
      <c r="F28" s="5" t="inlineStr"/>
      <c r="G28" s="5" t="inlineStr"/>
      <c r="H28" s="5" t="inlineStr"/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DAILY TOTAL</t>
        </is>
      </c>
      <c r="B29" s="6" t="inlineStr">
        <is>
          <t>All 25 Channels</t>
        </is>
      </c>
      <c r="C29" s="6">
        <f>SUM(C4:C28)</f>
        <v/>
      </c>
      <c r="D29" s="6">
        <f>SUM(D4:D28)</f>
        <v/>
      </c>
      <c r="E29" s="6" t="inlineStr"/>
      <c r="F29" s="6" t="inlineStr"/>
      <c r="G29" s="6" t="inlineStr"/>
      <c r="H29" s="6" t="inlineStr"/>
      <c r="I29" s="6">
        <f>SUM(I4:I28)</f>
        <v/>
      </c>
      <c r="J29" s="6">
        <f>SUM(J4:J28)</f>
        <v/>
      </c>
      <c r="K29" s="6">
        <f>SUM(K4:K28)</f>
        <v/>
      </c>
      <c r="L29" s="6">
        <f>SUM(L4:L28)</f>
        <v/>
      </c>
    </row>
    <row r="30"/>
    <row r="31">
      <c r="A31" s="1" t="inlineStr">
        <is>
          <t>Date</t>
        </is>
      </c>
      <c r="B31" s="1" t="inlineStr"/>
      <c r="C31" s="1" t="inlineStr">
        <is>
          <t>19 October 2026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>
      <c r="A32" s="2" t="inlineStr">
        <is>
          <t>Dimensions</t>
        </is>
      </c>
      <c r="B32" s="2" t="inlineStr"/>
      <c r="C32" s="2" t="inlineStr">
        <is>
          <t>posts</t>
        </is>
      </c>
      <c r="D32" s="2" t="inlineStr"/>
      <c r="E32" s="2" t="inlineStr">
        <is>
          <t>followers</t>
        </is>
      </c>
      <c r="F32" s="2" t="inlineStr"/>
      <c r="G32" s="2" t="inlineStr">
        <is>
          <t>following</t>
        </is>
      </c>
      <c r="H32" s="2" t="inlineStr"/>
      <c r="I32" s="2" t="inlineStr">
        <is>
          <t>comments</t>
        </is>
      </c>
      <c r="J32" s="2" t="inlineStr"/>
      <c r="K32" s="2" t="inlineStr">
        <is>
          <t>dms</t>
        </is>
      </c>
      <c r="L32" s="2" t="inlineStr"/>
    </row>
    <row r="33">
      <c r="A33" s="3" t="inlineStr">
        <is>
          <t>Method | Profile</t>
        </is>
      </c>
      <c r="B33" s="3" t="inlineStr">
        <is>
          <t>Platform</t>
        </is>
      </c>
      <c r="C33" s="3" t="inlineStr">
        <is>
          <t>simali</t>
        </is>
      </c>
      <c r="D33" s="3" t="inlineStr">
        <is>
          <t>tafa</t>
        </is>
      </c>
      <c r="E33" s="3" t="inlineStr">
        <is>
          <t>simali</t>
        </is>
      </c>
      <c r="F33" s="3" t="inlineStr">
        <is>
          <t>tafa</t>
        </is>
      </c>
      <c r="G33" s="3" t="inlineStr">
        <is>
          <t>simali</t>
        </is>
      </c>
      <c r="H33" s="3" t="inlineStr">
        <is>
          <t>tafa</t>
        </is>
      </c>
      <c r="I33" s="3" t="inlineStr">
        <is>
          <t>simali</t>
        </is>
      </c>
      <c r="J33" s="3" t="inlineStr">
        <is>
          <t>tafa</t>
        </is>
      </c>
      <c r="K33" s="3" t="inlineStr">
        <is>
          <t>simali</t>
        </is>
      </c>
      <c r="L33" s="3" t="inlineStr">
        <is>
          <t>tafa</t>
        </is>
      </c>
    </row>
    <row r="34">
      <c r="A34" s="4" t="inlineStr">
        <is>
          <t>Buffer_A</t>
        </is>
      </c>
      <c r="B34" s="4" t="inlineStr">
        <is>
          <t>x</t>
        </is>
      </c>
      <c r="C34" s="5" t="n">
        <v>0</v>
      </c>
      <c r="D34" s="5" t="n">
        <v>0</v>
      </c>
      <c r="E34" s="5" t="inlineStr"/>
      <c r="F34" s="5" t="inlineStr"/>
      <c r="G34" s="5" t="inlineStr"/>
      <c r="H34" s="5" t="inlineStr"/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4" t="inlineStr"/>
      <c r="B35" s="4" t="inlineStr">
        <is>
          <t>linkedin</t>
        </is>
      </c>
      <c r="C35" s="5" t="n">
        <v>0</v>
      </c>
      <c r="D35" s="5" t="n">
        <v>0</v>
      </c>
      <c r="E35" s="5" t="inlineStr"/>
      <c r="F35" s="5" t="inlineStr"/>
      <c r="G35" s="5" t="inlineStr"/>
      <c r="H35" s="5" t="inlineStr"/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4" t="inlineStr"/>
      <c r="B36" s="4" t="inlineStr">
        <is>
          <t>pinterest</t>
        </is>
      </c>
      <c r="C36" s="5" t="n">
        <v>0</v>
      </c>
      <c r="D36" s="5" t="n">
        <v>0</v>
      </c>
      <c r="E36" s="5" t="inlineStr"/>
      <c r="F36" s="5" t="inlineStr"/>
      <c r="G36" s="5" t="inlineStr"/>
      <c r="H36" s="5" t="inlineStr"/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4" t="inlineStr">
        <is>
          <t>Buffer_B</t>
        </is>
      </c>
      <c r="B37" s="4" t="inlineStr">
        <is>
          <t>facebook</t>
        </is>
      </c>
      <c r="C37" s="5" t="n">
        <v>0</v>
      </c>
      <c r="D37" s="5" t="n">
        <v>0</v>
      </c>
      <c r="E37" s="5" t="inlineStr"/>
      <c r="F37" s="5" t="inlineStr"/>
      <c r="G37" s="5" t="inlineStr"/>
      <c r="H37" s="5" t="inlineStr"/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4" t="inlineStr"/>
      <c r="B38" s="4" t="inlineStr">
        <is>
          <t>instagram</t>
        </is>
      </c>
      <c r="C38" s="5" t="n">
        <v>0</v>
      </c>
      <c r="D38" s="5" t="n">
        <v>0</v>
      </c>
      <c r="E38" s="5" t="inlineStr"/>
      <c r="F38" s="5" t="inlineStr"/>
      <c r="G38" s="5" t="inlineStr"/>
      <c r="H38" s="5" t="inlineStr"/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4" t="inlineStr"/>
      <c r="B39" s="4" t="inlineStr">
        <is>
          <t>threads</t>
        </is>
      </c>
      <c r="C39" s="5" t="n">
        <v>0</v>
      </c>
      <c r="D39" s="5" t="n">
        <v>0</v>
      </c>
      <c r="E39" s="5" t="inlineStr"/>
      <c r="F39" s="5" t="inlineStr"/>
      <c r="G39" s="5" t="inlineStr"/>
      <c r="H39" s="5" t="inlineStr"/>
      <c r="I39" s="5" t="n">
        <v>0</v>
      </c>
      <c r="J39" s="5" t="n">
        <v>0</v>
      </c>
      <c r="K39" s="5" t="n">
        <v>0</v>
      </c>
      <c r="L39" s="5" t="n">
        <v>0</v>
      </c>
    </row>
    <row r="40">
      <c r="A40" s="4" t="inlineStr">
        <is>
          <t>Buffer_C</t>
        </is>
      </c>
      <c r="B40" s="4" t="inlineStr">
        <is>
          <t>youtube</t>
        </is>
      </c>
      <c r="C40" s="5" t="n">
        <v>0</v>
      </c>
      <c r="D40" s="5" t="n">
        <v>0</v>
      </c>
      <c r="E40" s="5" t="inlineStr"/>
      <c r="F40" s="5" t="inlineStr"/>
      <c r="G40" s="5" t="inlineStr"/>
      <c r="H40" s="5" t="inlineStr"/>
      <c r="I40" s="5" t="n">
        <v>0</v>
      </c>
      <c r="J40" s="5" t="n">
        <v>0</v>
      </c>
      <c r="K40" s="5" t="n">
        <v>0</v>
      </c>
      <c r="L40" s="5" t="n">
        <v>0</v>
      </c>
    </row>
    <row r="41">
      <c r="A41" s="4" t="inlineStr"/>
      <c r="B41" s="4" t="inlineStr">
        <is>
          <t>tiktok</t>
        </is>
      </c>
      <c r="C41" s="5" t="n">
        <v>0</v>
      </c>
      <c r="D41" s="5" t="n">
        <v>0</v>
      </c>
      <c r="E41" s="5" t="inlineStr"/>
      <c r="F41" s="5" t="inlineStr"/>
      <c r="G41" s="5" t="inlineStr"/>
      <c r="H41" s="5" t="inlineStr"/>
      <c r="I41" s="5" t="n">
        <v>0</v>
      </c>
      <c r="J41" s="5" t="n">
        <v>0</v>
      </c>
      <c r="K41" s="5" t="n">
        <v>0</v>
      </c>
      <c r="L41" s="5" t="n">
        <v>0</v>
      </c>
    </row>
    <row r="42">
      <c r="A42" s="4" t="inlineStr"/>
      <c r="B42" s="4" t="inlineStr">
        <is>
          <t>gbp</t>
        </is>
      </c>
      <c r="C42" s="5" t="n">
        <v>0</v>
      </c>
      <c r="D42" s="5" t="n">
        <v>0</v>
      </c>
      <c r="E42" s="5" t="inlineStr"/>
      <c r="F42" s="5" t="inlineStr"/>
      <c r="G42" s="5" t="inlineStr"/>
      <c r="H42" s="5" t="inlineStr"/>
      <c r="I42" s="5" t="n">
        <v>0</v>
      </c>
      <c r="J42" s="5" t="n">
        <v>0</v>
      </c>
      <c r="K42" s="5" t="n">
        <v>0</v>
      </c>
      <c r="L42" s="5" t="n">
        <v>0</v>
      </c>
    </row>
    <row r="43">
      <c r="A43" s="4" t="inlineStr">
        <is>
          <t>Native</t>
        </is>
      </c>
      <c r="B43" s="4" t="inlineStr">
        <is>
          <t>bluesky</t>
        </is>
      </c>
      <c r="C43" s="5" t="n">
        <v>0</v>
      </c>
      <c r="D43" s="5" t="n">
        <v>0</v>
      </c>
      <c r="E43" s="5" t="inlineStr"/>
      <c r="F43" s="5" t="inlineStr"/>
      <c r="G43" s="5" t="inlineStr"/>
      <c r="H43" s="5" t="inlineStr"/>
      <c r="I43" s="5" t="n">
        <v>0</v>
      </c>
      <c r="J43" s="5" t="n">
        <v>0</v>
      </c>
      <c r="K43" s="5" t="n">
        <v>0</v>
      </c>
      <c r="L43" s="5" t="n">
        <v>0</v>
      </c>
    </row>
    <row r="44">
      <c r="A44" s="4" t="inlineStr"/>
      <c r="B44" s="4" t="inlineStr">
        <is>
          <t>dev.to</t>
        </is>
      </c>
      <c r="C44" s="5" t="n">
        <v>0</v>
      </c>
      <c r="D44" s="5" t="n">
        <v>0</v>
      </c>
      <c r="E44" s="5" t="inlineStr"/>
      <c r="F44" s="5" t="inlineStr"/>
      <c r="G44" s="5" t="inlineStr"/>
      <c r="H44" s="5" t="inlineStr"/>
      <c r="I44" s="5" t="n">
        <v>0</v>
      </c>
      <c r="J44" s="5" t="n">
        <v>0</v>
      </c>
      <c r="K44" s="5" t="n">
        <v>0</v>
      </c>
      <c r="L44" s="5" t="n">
        <v>0</v>
      </c>
    </row>
    <row r="45">
      <c r="A45" s="4" t="inlineStr"/>
      <c r="B45" s="4" t="inlineStr">
        <is>
          <t>hashnode</t>
        </is>
      </c>
      <c r="C45" s="5" t="n">
        <v>0</v>
      </c>
      <c r="D45" s="5" t="n">
        <v>0</v>
      </c>
      <c r="E45" s="5" t="inlineStr"/>
      <c r="F45" s="5" t="inlineStr"/>
      <c r="G45" s="5" t="inlineStr"/>
      <c r="H45" s="5" t="inlineStr"/>
      <c r="I45" s="5" t="n">
        <v>0</v>
      </c>
      <c r="J45" s="5" t="n">
        <v>0</v>
      </c>
      <c r="K45" s="5" t="n">
        <v>0</v>
      </c>
      <c r="L45" s="5" t="n">
        <v>0</v>
      </c>
    </row>
    <row r="46">
      <c r="A46" s="4" t="inlineStr"/>
      <c r="B46" s="4" t="inlineStr">
        <is>
          <t>mastodon</t>
        </is>
      </c>
      <c r="C46" s="5" t="n">
        <v>0</v>
      </c>
      <c r="D46" s="5" t="n">
        <v>0</v>
      </c>
      <c r="E46" s="5" t="inlineStr"/>
      <c r="F46" s="5" t="inlineStr"/>
      <c r="G46" s="5" t="inlineStr"/>
      <c r="H46" s="5" t="inlineStr"/>
      <c r="I46" s="5" t="n">
        <v>0</v>
      </c>
      <c r="J46" s="5" t="n">
        <v>0</v>
      </c>
      <c r="K46" s="5" t="n">
        <v>0</v>
      </c>
      <c r="L46" s="5" t="n">
        <v>0</v>
      </c>
    </row>
    <row r="47">
      <c r="A47" s="4" t="inlineStr"/>
      <c r="B47" s="4" t="inlineStr">
        <is>
          <t>whop</t>
        </is>
      </c>
      <c r="C47" s="5" t="n">
        <v>0</v>
      </c>
      <c r="D47" s="5" t="n">
        <v>0</v>
      </c>
      <c r="E47" s="5" t="inlineStr"/>
      <c r="F47" s="5" t="inlineStr"/>
      <c r="G47" s="5" t="inlineStr"/>
      <c r="H47" s="5" t="inlineStr"/>
      <c r="I47" s="5" t="n">
        <v>0</v>
      </c>
      <c r="J47" s="5" t="n">
        <v>0</v>
      </c>
      <c r="K47" s="5" t="n">
        <v>0</v>
      </c>
      <c r="L47" s="5" t="n">
        <v>0</v>
      </c>
    </row>
    <row r="48">
      <c r="A48" s="4" t="inlineStr"/>
      <c r="B48" s="4" t="inlineStr">
        <is>
          <t>github</t>
        </is>
      </c>
      <c r="C48" s="5" t="n">
        <v>0</v>
      </c>
      <c r="D48" s="5" t="n">
        <v>0</v>
      </c>
      <c r="E48" s="5" t="inlineStr"/>
      <c r="F48" s="5" t="inlineStr"/>
      <c r="G48" s="5" t="inlineStr"/>
      <c r="H48" s="5" t="inlineStr"/>
      <c r="I48" s="5" t="n">
        <v>0</v>
      </c>
      <c r="J48" s="5" t="n">
        <v>0</v>
      </c>
      <c r="K48" s="5" t="n">
        <v>0</v>
      </c>
      <c r="L48" s="5" t="n">
        <v>0</v>
      </c>
    </row>
    <row r="49">
      <c r="A49" s="4" t="inlineStr"/>
      <c r="B49" s="4" t="inlineStr">
        <is>
          <t>tumblr</t>
        </is>
      </c>
      <c r="C49" s="5" t="n">
        <v>0</v>
      </c>
      <c r="D49" s="5" t="n">
        <v>0</v>
      </c>
      <c r="E49" s="5" t="inlineStr"/>
      <c r="F49" s="5" t="inlineStr"/>
      <c r="G49" s="5" t="inlineStr"/>
      <c r="H49" s="5" t="inlineStr"/>
      <c r="I49" s="5" t="n">
        <v>0</v>
      </c>
      <c r="J49" s="5" t="n">
        <v>0</v>
      </c>
      <c r="K49" s="5" t="n">
        <v>0</v>
      </c>
      <c r="L49" s="5" t="n">
        <v>0</v>
      </c>
    </row>
    <row r="50">
      <c r="A50" s="4" t="inlineStr"/>
      <c r="B50" s="4" t="inlineStr">
        <is>
          <t>discord</t>
        </is>
      </c>
      <c r="C50" s="5" t="n">
        <v>0</v>
      </c>
      <c r="D50" s="5" t="n">
        <v>0</v>
      </c>
      <c r="E50" s="5" t="inlineStr"/>
      <c r="F50" s="5" t="inlineStr"/>
      <c r="G50" s="5" t="inlineStr"/>
      <c r="H50" s="5" t="inlineStr"/>
      <c r="I50" s="5" t="n">
        <v>0</v>
      </c>
      <c r="J50" s="5" t="n">
        <v>0</v>
      </c>
      <c r="K50" s="5" t="n">
        <v>0</v>
      </c>
      <c r="L50" s="5" t="n">
        <v>0</v>
      </c>
    </row>
    <row r="51">
      <c r="A51" s="4" t="inlineStr"/>
      <c r="B51" s="4" t="inlineStr">
        <is>
          <t>telegram</t>
        </is>
      </c>
      <c r="C51" s="5" t="n">
        <v>0</v>
      </c>
      <c r="D51" s="5" t="n">
        <v>0</v>
      </c>
      <c r="E51" s="5" t="inlineStr"/>
      <c r="F51" s="5" t="inlineStr"/>
      <c r="G51" s="5" t="inlineStr"/>
      <c r="H51" s="5" t="inlineStr"/>
      <c r="I51" s="5" t="n">
        <v>0</v>
      </c>
      <c r="J51" s="5" t="n">
        <v>0</v>
      </c>
      <c r="K51" s="5" t="n">
        <v>0</v>
      </c>
      <c r="L51" s="5" t="n">
        <v>0</v>
      </c>
    </row>
    <row r="52">
      <c r="A52" s="4" t="inlineStr"/>
      <c r="B52" s="4" t="inlineStr">
        <is>
          <t>nostr</t>
        </is>
      </c>
      <c r="C52" s="5" t="n">
        <v>0</v>
      </c>
      <c r="D52" s="5" t="n">
        <v>0</v>
      </c>
      <c r="E52" s="5" t="inlineStr"/>
      <c r="F52" s="5" t="inlineStr"/>
      <c r="G52" s="5" t="inlineStr"/>
      <c r="H52" s="5" t="inlineStr"/>
      <c r="I52" s="5" t="n">
        <v>0</v>
      </c>
      <c r="J52" s="5" t="n">
        <v>0</v>
      </c>
      <c r="K52" s="5" t="n">
        <v>0</v>
      </c>
      <c r="L52" s="5" t="n">
        <v>0</v>
      </c>
    </row>
    <row r="53">
      <c r="A53" s="4" t="inlineStr"/>
      <c r="B53" s="4" t="inlineStr">
        <is>
          <t>blogspot</t>
        </is>
      </c>
      <c r="C53" s="5" t="n">
        <v>0</v>
      </c>
      <c r="D53" s="5" t="n">
        <v>0</v>
      </c>
      <c r="E53" s="5" t="inlineStr"/>
      <c r="F53" s="5" t="inlineStr"/>
      <c r="G53" s="5" t="inlineStr"/>
      <c r="H53" s="5" t="inlineStr"/>
      <c r="I53" s="5" t="n">
        <v>0</v>
      </c>
      <c r="J53" s="5" t="n">
        <v>0</v>
      </c>
      <c r="K53" s="5" t="n">
        <v>0</v>
      </c>
      <c r="L53" s="5" t="n">
        <v>0</v>
      </c>
    </row>
    <row r="54">
      <c r="A54" s="4" t="inlineStr">
        <is>
          <t>Manual</t>
        </is>
      </c>
      <c r="B54" s="4" t="inlineStr">
        <is>
          <t>reddit</t>
        </is>
      </c>
      <c r="C54" s="5" t="n">
        <v>0</v>
      </c>
      <c r="D54" s="5" t="n">
        <v>0</v>
      </c>
      <c r="E54" s="5" t="inlineStr"/>
      <c r="F54" s="5" t="inlineStr"/>
      <c r="G54" s="5" t="inlineStr"/>
      <c r="H54" s="5" t="inlineStr"/>
      <c r="I54" s="5" t="n">
        <v>0</v>
      </c>
      <c r="J54" s="5" t="n">
        <v>0</v>
      </c>
      <c r="K54" s="5" t="n">
        <v>0</v>
      </c>
      <c r="L54" s="5" t="n">
        <v>0</v>
      </c>
    </row>
    <row r="55">
      <c r="A55" s="4" t="inlineStr"/>
      <c r="B55" s="4" t="inlineStr">
        <is>
          <t>medium</t>
        </is>
      </c>
      <c r="C55" s="5" t="n">
        <v>0</v>
      </c>
      <c r="D55" s="5" t="n">
        <v>0</v>
      </c>
      <c r="E55" s="5" t="inlineStr"/>
      <c r="F55" s="5" t="inlineStr"/>
      <c r="G55" s="5" t="inlineStr"/>
      <c r="H55" s="5" t="inlineStr"/>
      <c r="I55" s="5" t="n">
        <v>0</v>
      </c>
      <c r="J55" s="5" t="n">
        <v>0</v>
      </c>
      <c r="K55" s="5" t="n">
        <v>0</v>
      </c>
      <c r="L55" s="5" t="n">
        <v>0</v>
      </c>
    </row>
    <row r="56">
      <c r="A56" s="4" t="inlineStr"/>
      <c r="B56" s="4" t="inlineStr">
        <is>
          <t>quora</t>
        </is>
      </c>
      <c r="C56" s="5" t="n">
        <v>0</v>
      </c>
      <c r="D56" s="5" t="n">
        <v>0</v>
      </c>
      <c r="E56" s="5" t="inlineStr"/>
      <c r="F56" s="5" t="inlineStr"/>
      <c r="G56" s="5" t="inlineStr"/>
      <c r="H56" s="5" t="inlineStr"/>
      <c r="I56" s="5" t="n">
        <v>0</v>
      </c>
      <c r="J56" s="5" t="n">
        <v>0</v>
      </c>
      <c r="K56" s="5" t="n">
        <v>0</v>
      </c>
      <c r="L56" s="5" t="n">
        <v>0</v>
      </c>
    </row>
    <row r="57">
      <c r="A57" s="4" t="inlineStr"/>
      <c r="B57" s="4" t="inlineStr">
        <is>
          <t>g. sites</t>
        </is>
      </c>
      <c r="C57" s="5" t="n">
        <v>0</v>
      </c>
      <c r="D57" s="5" t="n">
        <v>0</v>
      </c>
      <c r="E57" s="5" t="inlineStr"/>
      <c r="F57" s="5" t="inlineStr"/>
      <c r="G57" s="5" t="inlineStr"/>
      <c r="H57" s="5" t="inlineStr"/>
      <c r="I57" s="5" t="n">
        <v>0</v>
      </c>
      <c r="J57" s="5" t="n">
        <v>0</v>
      </c>
      <c r="K57" s="5" t="n">
        <v>0</v>
      </c>
      <c r="L57" s="5" t="n">
        <v>0</v>
      </c>
    </row>
    <row r="58">
      <c r="A58" s="4" t="inlineStr"/>
      <c r="B58" s="4" t="inlineStr">
        <is>
          <t>whatsapp_status</t>
        </is>
      </c>
      <c r="C58" s="5" t="n">
        <v>0</v>
      </c>
      <c r="D58" s="5" t="n">
        <v>0</v>
      </c>
      <c r="E58" s="5" t="inlineStr"/>
      <c r="F58" s="5" t="inlineStr"/>
      <c r="G58" s="5" t="inlineStr"/>
      <c r="H58" s="5" t="inlineStr"/>
      <c r="I58" s="5" t="n">
        <v>0</v>
      </c>
      <c r="J58" s="5" t="n">
        <v>0</v>
      </c>
      <c r="K58" s="5" t="n">
        <v>0</v>
      </c>
      <c r="L58" s="5" t="n">
        <v>0</v>
      </c>
    </row>
    <row r="59">
      <c r="A59" s="6" t="inlineStr">
        <is>
          <t>DAILY TOTAL</t>
        </is>
      </c>
      <c r="B59" s="6" t="inlineStr">
        <is>
          <t>All 25 Channels</t>
        </is>
      </c>
      <c r="C59" s="6">
        <f>SUM(C34:C58)</f>
        <v/>
      </c>
      <c r="D59" s="6">
        <f>SUM(D34:D58)</f>
        <v/>
      </c>
      <c r="E59" s="6" t="inlineStr"/>
      <c r="F59" s="6" t="inlineStr"/>
      <c r="G59" s="6" t="inlineStr"/>
      <c r="H59" s="6" t="inlineStr"/>
      <c r="I59" s="6">
        <f>SUM(I34:I58)</f>
        <v/>
      </c>
      <c r="J59" s="6">
        <f>SUM(J34:J58)</f>
        <v/>
      </c>
      <c r="K59" s="6">
        <f>SUM(K34:K58)</f>
        <v/>
      </c>
      <c r="L59" s="6">
        <f>SUM(L34:L58)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40" customWidth="1" min="4" max="4"/>
    <col width="38" customWidth="1" min="5" max="5"/>
    <col width="35" customWidth="1" min="6" max="6"/>
    <col width="35" customWidth="1" min="7" max="7"/>
    <col width="23" customWidth="1" min="8" max="8"/>
    <col width="18" customWidth="1" min="9" max="9"/>
    <col width="20" customWidth="1" min="10" max="10"/>
    <col width="22" customWidth="1" min="11" max="11"/>
    <col width="25" customWidth="1" min="12" max="12"/>
    <col width="36" customWidth="1" min="13" max="13"/>
    <col width="30" customWidth="1" min="14" max="14"/>
    <col width="42" customWidth="1" min="15" max="15"/>
  </cols>
  <sheetData>
    <row r="1">
      <c r="A1" s="7" t="inlineStr">
        <is>
          <t>Date</t>
        </is>
      </c>
      <c r="B1" s="7" t="inlineStr">
        <is>
          <t>Operator</t>
        </is>
      </c>
      <c r="C1" s="7" t="inlineStr">
        <is>
          <t>Morning Rounds Approved?</t>
        </is>
      </c>
      <c r="D1" s="7" t="inlineStr">
        <is>
          <t>Social/Lead Replies Sent (Target: 30)</t>
        </is>
      </c>
      <c r="E1" s="7" t="inlineStr">
        <is>
          <t>Agency Follow-Ups Sent (Target: 15)</t>
        </is>
      </c>
      <c r="F1" s="7" t="inlineStr">
        <is>
          <t>Affiliates Contacted (Target: 3)</t>
        </is>
      </c>
      <c r="G1" s="7" t="inlineStr">
        <is>
          <t>Trials Started Today (Target: 2)</t>
        </is>
      </c>
      <c r="H1" s="7" t="inlineStr">
        <is>
          <t>$19 Setup Packs Sold</t>
        </is>
      </c>
      <c r="I1" s="7" t="inlineStr">
        <is>
          <t>$49/mo DFY Sold</t>
        </is>
      </c>
      <c r="J1" s="7" t="inlineStr">
        <is>
          <t>$306/mo Solo Sold</t>
        </is>
      </c>
      <c r="K1" s="7" t="inlineStr">
        <is>
          <t>$613/mo Studio Sold</t>
        </is>
      </c>
      <c r="L1" s="7" t="inlineStr">
        <is>
          <t>$920/mo Sovereign Sold</t>
        </is>
      </c>
      <c r="M1" s="7" t="inlineStr">
        <is>
          <t>Cash Collected Today ($)</t>
        </is>
      </c>
      <c r="N1" s="7" t="inlineStr">
        <is>
          <t>New MRR Added Today ($/mo)</t>
        </is>
      </c>
      <c r="O1" s="7" t="inlineStr">
        <is>
          <t>Key Wins / Blockers / Notes</t>
        </is>
      </c>
    </row>
    <row r="2">
      <c r="A2" t="inlineStr">
        <is>
          <t>2026-10-18</t>
        </is>
      </c>
      <c r="B2" t="inlineStr">
        <is>
          <t>simali</t>
        </is>
      </c>
      <c r="C2" t="inlineStr">
        <is>
          <t>YES</t>
        </is>
      </c>
      <c r="D2" t="n">
        <v>30</v>
      </c>
      <c r="E2" t="n">
        <v>15</v>
      </c>
      <c r="F2" t="n">
        <v>3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>
        <f>H2*19+I2*49+J2*306+K2*613+L2*920</f>
        <v/>
      </c>
      <c r="N2">
        <f>I2*49+J2*306+K2*613+L2*920</f>
        <v/>
      </c>
      <c r="O2" t="inlineStr">
        <is>
          <t>Approved morning rounds across 16 countries; launched 30-video rotation</t>
        </is>
      </c>
    </row>
    <row r="3">
      <c r="A3" t="inlineStr">
        <is>
          <t>2026-10-18</t>
        </is>
      </c>
      <c r="B3" t="inlineStr">
        <is>
          <t>tafa</t>
        </is>
      </c>
      <c r="C3" t="inlineStr">
        <is>
          <t>YES</t>
        </is>
      </c>
      <c r="D3" t="n">
        <v>30</v>
      </c>
      <c r="E3" t="n">
        <v>15</v>
      </c>
      <c r="F3" t="n">
        <v>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>
        <f>H3*19+I3*49+J3*306+K3*613+L3*920</f>
        <v/>
      </c>
      <c r="N3">
        <f>I3*49+J3*306+K3*613+L3*920</f>
        <v/>
      </c>
      <c r="O3" t="inlineStr">
        <is>
          <t>Followed up with warm recruitment leads &amp; sent $19 Setup / $49 DFY links</t>
        </is>
      </c>
    </row>
    <row r="4">
      <c r="A4" t="inlineStr">
        <is>
          <t>2026-10-19</t>
        </is>
      </c>
      <c r="B4" t="inlineStr">
        <is>
          <t>simali</t>
        </is>
      </c>
      <c r="C4" t="inlineStr">
        <is>
          <t>YES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>
        <f>H4*19+I4*49+J4*306+K4*613+L4*920</f>
        <v/>
      </c>
      <c r="N4">
        <f>I4*49+J4*306+K4*613+L4*920</f>
        <v/>
      </c>
      <c r="O4" t="inlineStr"/>
    </row>
    <row r="5">
      <c r="A5" t="inlineStr">
        <is>
          <t>2026-10-19</t>
        </is>
      </c>
      <c r="B5" t="inlineStr">
        <is>
          <t>tafa</t>
        </is>
      </c>
      <c r="C5" t="inlineStr">
        <is>
          <t>YES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>
        <f>H5*19+I5*49+J5*306+K5*613+L5*920</f>
        <v/>
      </c>
      <c r="N5">
        <f>I5*49+J5*306+K5*613+L5*920</f>
        <v/>
      </c>
      <c r="O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3" customWidth="1" min="4" max="4"/>
    <col width="12" customWidth="1" min="5" max="5"/>
    <col width="22" customWidth="1" min="6" max="6"/>
    <col width="19" customWidth="1" min="7" max="7"/>
    <col width="42" customWidth="1" min="8" max="8"/>
    <col width="23" customWidth="1" min="9" max="9"/>
    <col width="41" customWidth="1" min="10" max="10"/>
    <col width="42" customWidth="1" min="11" max="11"/>
    <col width="19" customWidth="1" min="12" max="12"/>
    <col width="30" customWidth="1" min="13" max="13"/>
    <col width="28" customWidth="1" min="14" max="14"/>
    <col width="17" customWidth="1" min="15" max="15"/>
    <col width="19" customWidth="1" min="16" max="16"/>
    <col width="15" customWidth="1" min="17" max="17"/>
  </cols>
  <sheetData>
    <row r="1">
      <c r="A1" s="7" t="inlineStr">
        <is>
          <t>Lead ID</t>
        </is>
      </c>
      <c r="B1" s="7" t="inlineStr">
        <is>
          <t>Contact / Company Name</t>
        </is>
      </c>
      <c r="C1" s="7" t="inlineStr">
        <is>
          <t>Country</t>
        </is>
      </c>
      <c r="D1" s="7" t="inlineStr">
        <is>
          <t>Segment</t>
        </is>
      </c>
      <c r="E1" s="7" t="inlineStr">
        <is>
          <t>Channel</t>
        </is>
      </c>
      <c r="F1" s="7" t="inlineStr">
        <is>
          <t>Owner (simali/tafa)</t>
        </is>
      </c>
      <c r="G1" s="7" t="inlineStr">
        <is>
          <t>Last Talked Date</t>
        </is>
      </c>
      <c r="H1" s="7" t="inlineStr">
        <is>
          <t>What We Discussed / Did Today</t>
        </is>
      </c>
      <c r="I1" s="7" t="inlineStr">
        <is>
          <t>Stage</t>
        </is>
      </c>
      <c r="J1" s="7" t="inlineStr">
        <is>
          <t>Next Follow-Up Date (Talk To Tomorrow)</t>
        </is>
      </c>
      <c r="K1" s="7" t="inlineStr">
        <is>
          <t>Next Action Required</t>
        </is>
      </c>
      <c r="L1" s="7" t="inlineStr">
        <is>
          <t>Phone / WhatsApp</t>
        </is>
      </c>
      <c r="M1" s="7" t="inlineStr">
        <is>
          <t>Email / Handle</t>
        </is>
      </c>
      <c r="N1" s="7" t="inlineStr">
        <is>
          <t>Website / Link</t>
        </is>
      </c>
      <c r="O1" s="7" t="inlineStr">
        <is>
          <t>Deal Value ($)</t>
        </is>
      </c>
      <c r="P1" s="7" t="inlineStr">
        <is>
          <t>MRR Value ($/mo)</t>
        </is>
      </c>
      <c r="Q1" s="7" t="inlineStr">
        <is>
          <t>Source</t>
        </is>
      </c>
    </row>
    <row r="2">
      <c r="A2" t="inlineStr">
        <is>
          <t>LEAD-001</t>
        </is>
      </c>
      <c r="B2" t="inlineStr">
        <is>
          <t>Harare Executive Search Desk</t>
        </is>
      </c>
      <c r="C2" t="inlineStr">
        <is>
          <t>ZW</t>
        </is>
      </c>
      <c r="D2" t="inlineStr">
        <is>
          <t>Agency</t>
        </is>
      </c>
      <c r="E2" t="inlineStr">
        <is>
          <t>WhatsApp</t>
        </is>
      </c>
      <c r="F2" t="inlineStr">
        <is>
          <t>simali</t>
        </is>
      </c>
      <c r="G2" t="inlineStr">
        <is>
          <t>2026-10-18</t>
        </is>
      </c>
      <c r="H2" t="inlineStr">
        <is>
          <t>Sent Studio promo video + 7-day /trial link; wants 15-candidate seat demo</t>
        </is>
      </c>
      <c r="I2" t="inlineStr">
        <is>
          <t>Trial Sent</t>
        </is>
      </c>
      <c r="J2" t="inlineStr">
        <is>
          <t>2026-10-19</t>
        </is>
      </c>
      <c r="K2" t="inlineStr">
        <is>
          <t>Walk through /intake link &amp; close $613/mo Studio plan</t>
        </is>
      </c>
      <c r="L2" t="inlineStr">
        <is>
          <t>+263 78 460 0904</t>
        </is>
      </c>
      <c r="M2" t="inlineStr">
        <is>
          <t>simalidudu@gmail.com</t>
        </is>
      </c>
      <c r="N2" t="inlineStr">
        <is>
          <t>https://getstpi.pages.dev</t>
        </is>
      </c>
      <c r="O2" t="n">
        <v>613</v>
      </c>
      <c r="P2" t="n">
        <v>613</v>
      </c>
      <c r="Q2" t="inlineStr">
        <is>
          <t>stpi-leads</t>
        </is>
      </c>
    </row>
    <row r="3">
      <c r="A3" t="inlineStr">
        <is>
          <t>LEAD-002</t>
        </is>
      </c>
      <c r="B3" t="inlineStr">
        <is>
          <t>Sandton Finance Candidate</t>
        </is>
      </c>
      <c r="C3" t="inlineStr">
        <is>
          <t>ZA</t>
        </is>
      </c>
      <c r="D3" t="inlineStr">
        <is>
          <t>Job Seeker</t>
        </is>
      </c>
      <c r="E3" t="inlineStr">
        <is>
          <t>LinkedIn</t>
        </is>
      </c>
      <c r="F3" t="inlineStr">
        <is>
          <t>tafa</t>
        </is>
      </c>
      <c r="G3" t="inlineStr">
        <is>
          <t>2026-10-18</t>
        </is>
      </c>
      <c r="H3" t="inlineStr">
        <is>
          <t>Audited CV; pitched $19 Setup Pack + $49/mo DFY Placement across ZA &amp; BW</t>
        </is>
      </c>
      <c r="I3" t="inlineStr">
        <is>
          <t>$49 DFY Pitch</t>
        </is>
      </c>
      <c r="J3" t="inlineStr">
        <is>
          <t>2026-10-19</t>
        </is>
      </c>
      <c r="K3" t="inlineStr">
        <is>
          <t>Send Whop $49/mo DFY checkout link (ch_Si8xefqAIZZzm3R)</t>
        </is>
      </c>
      <c r="L3" t="inlineStr">
        <is>
          <t>+27 82 000 0000</t>
        </is>
      </c>
      <c r="M3" t="inlineStr">
        <is>
          <t>tafadzwamchikanya@gmail.com</t>
        </is>
      </c>
      <c r="N3" t="inlineStr">
        <is>
          <t>https://whop.com/stpi</t>
        </is>
      </c>
      <c r="O3" t="n">
        <v>49</v>
      </c>
      <c r="P3" t="n">
        <v>49</v>
      </c>
      <c r="Q3" t="inlineStr">
        <is>
          <t>social_watch</t>
        </is>
      </c>
    </row>
    <row r="4">
      <c r="A4" t="inlineStr">
        <is>
          <t>LEAD-003</t>
        </is>
      </c>
      <c r="B4" t="inlineStr">
        <is>
          <t>Nairobi Career Coach Partner</t>
        </is>
      </c>
      <c r="C4" t="inlineStr">
        <is>
          <t>KE</t>
        </is>
      </c>
      <c r="D4" t="inlineStr">
        <is>
          <t>Affiliate</t>
        </is>
      </c>
      <c r="E4" t="inlineStr">
        <is>
          <t>X / DM</t>
        </is>
      </c>
      <c r="F4" t="inlineStr">
        <is>
          <t>simali</t>
        </is>
      </c>
      <c r="G4" t="inlineStr">
        <is>
          <t>2026-10-18</t>
        </is>
      </c>
      <c r="H4" t="inlineStr">
        <is>
          <t>Shared 30% Whop affiliate program + 30 promo videos repo</t>
        </is>
      </c>
      <c r="I4" t="inlineStr">
        <is>
          <t>Affiliate Onboarding</t>
        </is>
      </c>
      <c r="J4" t="inlineStr">
        <is>
          <t>2026-10-19</t>
        </is>
      </c>
      <c r="K4" t="inlineStr">
        <is>
          <t>Confirm ?a= handle is live and schedule first TikTok/LinkedIn post</t>
        </is>
      </c>
      <c r="L4" t="inlineStr">
        <is>
          <t>+254 700 000 000</t>
        </is>
      </c>
      <c r="M4" t="inlineStr">
        <is>
          <t>@stpi_partner</t>
        </is>
      </c>
      <c r="N4" t="inlineStr">
        <is>
          <t>https://whop.com/stpi</t>
        </is>
      </c>
      <c r="O4" t="n">
        <v>306</v>
      </c>
      <c r="P4" t="n">
        <v>306</v>
      </c>
      <c r="Q4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1" customWidth="1" min="3" max="3"/>
    <col width="12" customWidth="1" min="4" max="4"/>
    <col width="13" customWidth="1" min="5" max="5"/>
    <col width="12" customWidth="1" min="6" max="6"/>
    <col width="23" customWidth="1" min="7" max="7"/>
    <col width="42" customWidth="1" min="8" max="8"/>
    <col width="42" customWidth="1" min="9" max="9"/>
    <col width="19" customWidth="1" min="10" max="10"/>
    <col width="30" customWidth="1" min="11" max="11"/>
    <col width="17" customWidth="1" min="12" max="12"/>
  </cols>
  <sheetData>
    <row r="1">
      <c r="A1" s="8" t="inlineStr">
        <is>
          <t>Owner (simali/tafa)</t>
        </is>
      </c>
      <c r="B1" s="8" t="inlineStr">
        <is>
          <t>Next Follow-Up Date</t>
        </is>
      </c>
      <c r="C1" s="8" t="inlineStr">
        <is>
          <t>Contact / Company Name</t>
        </is>
      </c>
      <c r="D1" s="8" t="inlineStr">
        <is>
          <t>Country</t>
        </is>
      </c>
      <c r="E1" s="8" t="inlineStr">
        <is>
          <t>Segment</t>
        </is>
      </c>
      <c r="F1" s="8" t="inlineStr">
        <is>
          <t>Channel</t>
        </is>
      </c>
      <c r="G1" s="8" t="inlineStr">
        <is>
          <t>Current Stage</t>
        </is>
      </c>
      <c r="H1" s="8" t="inlineStr">
        <is>
          <t>What We Discussed Last</t>
        </is>
      </c>
      <c r="I1" s="8" t="inlineStr">
        <is>
          <t>Next Action To Take Today</t>
        </is>
      </c>
      <c r="J1" s="8" t="inlineStr">
        <is>
          <t>Phone / WhatsApp</t>
        </is>
      </c>
      <c r="K1" s="8" t="inlineStr">
        <is>
          <t>Email / Handle</t>
        </is>
      </c>
      <c r="L1" s="8" t="inlineStr">
        <is>
          <t>Deal Value ($)</t>
        </is>
      </c>
    </row>
    <row r="2">
      <c r="A2" t="inlineStr">
        <is>
          <t>simali</t>
        </is>
      </c>
      <c r="B2" t="inlineStr">
        <is>
          <t>2026-10-19</t>
        </is>
      </c>
      <c r="C2" t="inlineStr">
        <is>
          <t>Harare Executive Search Desk</t>
        </is>
      </c>
      <c r="D2" t="inlineStr">
        <is>
          <t>ZW</t>
        </is>
      </c>
      <c r="E2" t="inlineStr">
        <is>
          <t>Agency</t>
        </is>
      </c>
      <c r="F2" t="inlineStr">
        <is>
          <t>WhatsApp</t>
        </is>
      </c>
      <c r="G2" t="inlineStr">
        <is>
          <t>Trial Sent</t>
        </is>
      </c>
      <c r="H2" t="inlineStr">
        <is>
          <t>Sent Studio promo video + 7-day /trial link; wants 15-candidate seat demo</t>
        </is>
      </c>
      <c r="I2" t="inlineStr">
        <is>
          <t>Walk through /intake link &amp; close $613/mo Studio plan</t>
        </is>
      </c>
      <c r="J2" t="inlineStr">
        <is>
          <t>+263 78 460 0904</t>
        </is>
      </c>
      <c r="K2" t="inlineStr">
        <is>
          <t>simalidudu@gmail.com</t>
        </is>
      </c>
      <c r="L2" t="n">
        <v>613</v>
      </c>
    </row>
    <row r="3">
      <c r="A3" t="inlineStr">
        <is>
          <t>tafa</t>
        </is>
      </c>
      <c r="B3" t="inlineStr">
        <is>
          <t>2026-10-19</t>
        </is>
      </c>
      <c r="C3" t="inlineStr">
        <is>
          <t>Sandton Finance Candidate</t>
        </is>
      </c>
      <c r="D3" t="inlineStr">
        <is>
          <t>ZA</t>
        </is>
      </c>
      <c r="E3" t="inlineStr">
        <is>
          <t>Job Seeker</t>
        </is>
      </c>
      <c r="F3" t="inlineStr">
        <is>
          <t>LinkedIn</t>
        </is>
      </c>
      <c r="G3" t="inlineStr">
        <is>
          <t>$49 DFY Pitch</t>
        </is>
      </c>
      <c r="H3" t="inlineStr">
        <is>
          <t>Audited CV; pitched $19 Setup Pack + $49/mo DFY Placement across ZA &amp; BW</t>
        </is>
      </c>
      <c r="I3" t="inlineStr">
        <is>
          <t>Send Whop $49/mo DFY checkout link (ch_Si8xefqAIZZzm3R)</t>
        </is>
      </c>
      <c r="J3" t="inlineStr">
        <is>
          <t>+27 82 000 0000</t>
        </is>
      </c>
      <c r="K3" t="inlineStr">
        <is>
          <t>tafadzwamchikanya@gmail.com</t>
        </is>
      </c>
      <c r="L3" t="n">
        <v>49</v>
      </c>
    </row>
    <row r="4">
      <c r="A4" t="inlineStr">
        <is>
          <t>simali</t>
        </is>
      </c>
      <c r="B4" t="inlineStr">
        <is>
          <t>2026-10-19</t>
        </is>
      </c>
      <c r="C4" t="inlineStr">
        <is>
          <t>Nairobi Career Coach Partner</t>
        </is>
      </c>
      <c r="D4" t="inlineStr">
        <is>
          <t>KE</t>
        </is>
      </c>
      <c r="E4" t="inlineStr">
        <is>
          <t>Affiliate</t>
        </is>
      </c>
      <c r="F4" t="inlineStr">
        <is>
          <t>X / DM</t>
        </is>
      </c>
      <c r="G4" t="inlineStr">
        <is>
          <t>Affiliate Onboarding</t>
        </is>
      </c>
      <c r="H4" t="inlineStr">
        <is>
          <t>Shared 30% Whop affiliate program + 30 promo videos repo</t>
        </is>
      </c>
      <c r="I4" t="inlineStr">
        <is>
          <t>Confirm ?a= handle is live and schedule first TikTok/LinkedIn post</t>
        </is>
      </c>
      <c r="J4" t="inlineStr">
        <is>
          <t>+254 700 000 000</t>
        </is>
      </c>
      <c r="K4" t="inlineStr">
        <is>
          <t>@stpi_partner</t>
        </is>
      </c>
      <c r="L4" t="n">
        <v>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28" customWidth="1" min="11" max="11"/>
  </cols>
  <sheetData>
    <row r="1">
      <c r="A1" s="7" t="inlineStr">
        <is>
          <t>Operator / Seller</t>
        </is>
      </c>
      <c r="B1" s="7" t="inlineStr">
        <is>
          <t>Role</t>
        </is>
      </c>
      <c r="C1" s="7" t="inlineStr">
        <is>
          <t>CRM Contacts Logged</t>
        </is>
      </c>
      <c r="D1" s="7" t="inlineStr">
        <is>
          <t>Social/Lead Replies Sent</t>
        </is>
      </c>
      <c r="E1" s="7" t="inlineStr">
        <is>
          <t>Agency Follow-Ups Sent</t>
        </is>
      </c>
      <c r="F1" s="7" t="inlineStr">
        <is>
          <t>Trials Started</t>
        </is>
      </c>
      <c r="G1" s="7" t="inlineStr">
        <is>
          <t>$19 Setup Packs Sold</t>
        </is>
      </c>
      <c r="H1" s="7" t="inlineStr">
        <is>
          <t>$49/mo DFY Clients Sold</t>
        </is>
      </c>
      <c r="I1" s="7" t="inlineStr">
        <is>
          <t>Total Cash Generated ($)</t>
        </is>
      </c>
      <c r="J1" s="7" t="inlineStr">
        <is>
          <t>Total MRR Generated ($/mo)</t>
        </is>
      </c>
      <c r="K1" s="7" t="inlineStr">
        <is>
          <t>30% Seller Commission ($)</t>
        </is>
      </c>
    </row>
    <row r="2">
      <c r="A2" t="inlineStr">
        <is>
          <t>simali</t>
        </is>
      </c>
      <c r="B2" t="inlineStr">
        <is>
          <t>Founder / Company</t>
        </is>
      </c>
      <c r="C2">
        <f>COUNTIF('3_CRM_Who_We_Talked_To'!F2:F1000,"simali")</f>
        <v/>
      </c>
      <c r="D2">
        <f>SUMIF('2_Daily_Checklist'!B2:B1000,"simali",'2_Daily_Checklist'!D2:D1000)</f>
        <v/>
      </c>
      <c r="E2">
        <f>SUMIF('2_Daily_Checklist'!B2:B1000,"simali",'2_Daily_Checklist'!E2:E1000)</f>
        <v/>
      </c>
      <c r="F2">
        <f>SUMIF('2_Daily_Checklist'!B2:B1000,"simali",'2_Daily_Checklist'!G2:G1000)</f>
        <v/>
      </c>
      <c r="G2">
        <f>SUMIF('2_Daily_Checklist'!B2:B1000,"simali",'2_Daily_Checklist'!H2:H1000)</f>
        <v/>
      </c>
      <c r="H2">
        <f>SUMIF('2_Daily_Checklist'!B2:B1000,"simali",'2_Daily_Checklist'!I2:I1000)</f>
        <v/>
      </c>
      <c r="I2">
        <f>SUMIF('2_Daily_Checklist'!B2:B1000,"simali",'2_Daily_Checklist'!M2:M1000)</f>
        <v/>
      </c>
      <c r="J2">
        <f>SUMIF('2_Daily_Checklist'!B2:B1000,"simali",'2_Daily_Checklist'!N2:N1000)</f>
        <v/>
      </c>
      <c r="K2" t="n">
        <v>0</v>
      </c>
    </row>
    <row r="3">
      <c r="A3" t="inlineStr">
        <is>
          <t>tafa</t>
        </is>
      </c>
      <c r="B3" t="inlineStr">
        <is>
          <t>Partner / Seller A</t>
        </is>
      </c>
      <c r="C3">
        <f>COUNTIF('3_CRM_Who_We_Talked_To'!F2:F1000,"tafa")</f>
        <v/>
      </c>
      <c r="D3">
        <f>SUMIF('2_Daily_Checklist'!B2:B1000,"tafa",'2_Daily_Checklist'!D2:D1000)</f>
        <v/>
      </c>
      <c r="E3">
        <f>SUMIF('2_Daily_Checklist'!B2:B1000,"tafa",'2_Daily_Checklist'!E2:E1000)</f>
        <v/>
      </c>
      <c r="F3">
        <f>SUMIF('2_Daily_Checklist'!B2:B1000,"tafa",'2_Daily_Checklist'!G2:G1000)</f>
        <v/>
      </c>
      <c r="G3">
        <f>SUMIF('2_Daily_Checklist'!B2:B1000,"tafa",'2_Daily_Checklist'!H2:H1000)</f>
        <v/>
      </c>
      <c r="H3">
        <f>SUMIF('2_Daily_Checklist'!B2:B1000,"tafa",'2_Daily_Checklist'!I2:I1000)</f>
        <v/>
      </c>
      <c r="I3">
        <f>SUMIF('2_Daily_Checklist'!B2:B1000,"tafa",'2_Daily_Checklist'!M2:M1000)</f>
        <v/>
      </c>
      <c r="J3">
        <f>SUMIF('2_Daily_Checklist'!B2:B1000,"tafa",'2_Daily_Checklist'!N2:N1000)</f>
        <v/>
      </c>
      <c r="K3">
        <f>I3*0.30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42" customWidth="1" min="3" max="3"/>
    <col width="31" customWidth="1" min="4" max="4"/>
    <col width="29" customWidth="1" min="5" max="5"/>
    <col width="42" customWidth="1" min="6" max="6"/>
  </cols>
  <sheetData>
    <row r="1">
      <c r="A1" s="7" t="inlineStr">
        <is>
          <t>Metric</t>
        </is>
      </c>
      <c r="B1" s="7" t="inlineStr">
        <is>
          <t>Goal by Dec 16, 2026</t>
        </is>
      </c>
      <c r="C1" s="7" t="inlineStr">
        <is>
          <t>Live Actual</t>
        </is>
      </c>
      <c r="D1" s="7" t="inlineStr">
        <is>
          <t>Remaining Gap</t>
        </is>
      </c>
      <c r="E1" s="7" t="inlineStr">
        <is>
          <t>% Complete</t>
        </is>
      </c>
      <c r="F1" s="7" t="inlineStr">
        <is>
          <t>Target Mix / Notes</t>
        </is>
      </c>
    </row>
    <row r="2">
      <c r="A2" t="inlineStr">
        <is>
          <t>Active MRR ($/mo)</t>
        </is>
      </c>
      <c r="B2" t="n">
        <v>8000</v>
      </c>
      <c r="C2">
        <f>SUM('2_Daily_Checklist'!N2:N1000)</f>
        <v/>
      </c>
      <c r="D2">
        <f>MAX(0,B2-C2)</f>
        <v/>
      </c>
      <c r="E2">
        <f>C2/B2</f>
        <v/>
      </c>
      <c r="F2" t="inlineStr">
        <is>
          <t>50 DFY ($49) + 8 Solo ($306) + 4 Studio ($613) + 1 Sovereign ($920) = $8,270/mo</t>
        </is>
      </c>
    </row>
    <row r="3">
      <c r="A3" t="inlineStr">
        <is>
          <t>Cash In-Hand ($)</t>
        </is>
      </c>
      <c r="B3" t="n">
        <v>10000</v>
      </c>
      <c r="C3">
        <f>SUM('2_Daily_Checklist'!M2:M1000)</f>
        <v/>
      </c>
      <c r="D3">
        <f>MAX(0,B3-C3)</f>
        <v/>
      </c>
      <c r="E3">
        <f>C3/B3</f>
        <v/>
      </c>
      <c r="F3" t="inlineStr">
        <is>
          <t>100 Setup ($19) + Monthly Plans + W1-W4 Renewals = $12,450 Gross / &gt;$10,500 Net</t>
        </is>
      </c>
    </row>
    <row r="4"/>
    <row r="5">
      <c r="A5" s="9" t="inlineStr">
        <is>
          <t>Week</t>
        </is>
      </c>
      <c r="B5" s="9" t="inlineStr">
        <is>
          <t>Dates (2026)</t>
        </is>
      </c>
      <c r="C5" s="9" t="inlineStr">
        <is>
          <t>Weekly Sales Target</t>
        </is>
      </c>
      <c r="D5" s="9" t="inlineStr">
        <is>
          <t>Target Cumulative MRR ($/mo)</t>
        </is>
      </c>
      <c r="E5" s="9" t="inlineStr">
        <is>
          <t>Target Cumulative Cash ($)</t>
        </is>
      </c>
      <c r="F5" s="9" t="inlineStr">
        <is>
          <t>Completed?</t>
        </is>
      </c>
    </row>
    <row r="6">
      <c r="A6" t="inlineStr">
        <is>
          <t>Week 1</t>
        </is>
      </c>
      <c r="B6" t="inlineStr">
        <is>
          <t>Oct 19 - Oct 25</t>
        </is>
      </c>
      <c r="C6" t="inlineStr">
        <is>
          <t>10 Setup ($19) · 5 DFY ($49) · 1 Solo ($306)</t>
        </is>
      </c>
      <c r="D6" t="n">
        <v>551</v>
      </c>
      <c r="E6" t="n">
        <v>680</v>
      </c>
      <c r="F6" t="inlineStr">
        <is>
          <t>PENDING</t>
        </is>
      </c>
    </row>
    <row r="7">
      <c r="A7" t="inlineStr">
        <is>
          <t>Week 2</t>
        </is>
      </c>
      <c r="B7" t="inlineStr">
        <is>
          <t>Oct 26 - Nov 01</t>
        </is>
      </c>
      <c r="C7" t="inlineStr">
        <is>
          <t>12 Setup ($19) · 6 DFY ($49) · 1 Solo ($306)</t>
        </is>
      </c>
      <c r="D7" t="n">
        <v>1151</v>
      </c>
      <c r="E7" t="n">
        <v>1430</v>
      </c>
      <c r="F7" t="inlineStr">
        <is>
          <t>PENDING</t>
        </is>
      </c>
    </row>
    <row r="8">
      <c r="A8" t="inlineStr">
        <is>
          <t>Week 3</t>
        </is>
      </c>
      <c r="B8" t="inlineStr">
        <is>
          <t>Nov 02 - Nov 08</t>
        </is>
      </c>
      <c r="C8" t="inlineStr">
        <is>
          <t>12 Setup ($19) · 6 DFY ($49) · 1 Solo ($306) · 1 Studio ($613)</t>
        </is>
      </c>
      <c r="D8" t="n">
        <v>2364</v>
      </c>
      <c r="E8" t="n">
        <v>2760</v>
      </c>
      <c r="F8" t="inlineStr">
        <is>
          <t>PENDING</t>
        </is>
      </c>
    </row>
    <row r="9">
      <c r="A9" t="inlineStr">
        <is>
          <t>Week 4</t>
        </is>
      </c>
      <c r="B9" t="inlineStr">
        <is>
          <t>Nov 09 - Nov 15</t>
        </is>
      </c>
      <c r="C9" t="inlineStr">
        <is>
          <t>14 Setup ($19) · 7 DFY ($49) · 1 Solo ($306) · 1 Studio ($613)</t>
        </is>
      </c>
      <c r="D9" t="n">
        <v>3626</v>
      </c>
      <c r="E9" t="n">
        <v>4180</v>
      </c>
      <c r="F9" t="inlineStr">
        <is>
          <t>PENDING</t>
        </is>
      </c>
    </row>
    <row r="10">
      <c r="A10" t="inlineStr">
        <is>
          <t>Week 5</t>
        </is>
      </c>
      <c r="B10" t="inlineStr">
        <is>
          <t>Nov 16 - Nov 22</t>
        </is>
      </c>
      <c r="C10" t="inlineStr">
        <is>
          <t>14 Setup ($19) · 7 DFY ($49) · 1 Solo ($306) + W1 Renewals</t>
        </is>
      </c>
      <c r="D10" t="n">
        <v>4275</v>
      </c>
      <c r="E10" t="n">
        <v>5530</v>
      </c>
      <c r="F10" t="inlineStr">
        <is>
          <t>PENDING</t>
        </is>
      </c>
    </row>
    <row r="11">
      <c r="A11" t="inlineStr">
        <is>
          <t>Week 6</t>
        </is>
      </c>
      <c r="B11" t="inlineStr">
        <is>
          <t>Nov 23 - Nov 29</t>
        </is>
      </c>
      <c r="C11" t="inlineStr">
        <is>
          <t>14 Setup ($19) · 7 DFY ($49) · 1 Solo ($306) · 1 Studio ($613) + W2 Renewals</t>
        </is>
      </c>
      <c r="D11" t="n">
        <v>5537</v>
      </c>
      <c r="E11" t="n">
        <v>7460</v>
      </c>
      <c r="F11" t="inlineStr">
        <is>
          <t>PENDING</t>
        </is>
      </c>
    </row>
    <row r="12">
      <c r="A12" t="inlineStr">
        <is>
          <t>Week 7</t>
        </is>
      </c>
      <c r="B12" t="inlineStr">
        <is>
          <t>Nov 30 - Dec 06</t>
        </is>
      </c>
      <c r="C12" t="inlineStr">
        <is>
          <t>12 Setup ($19) · 6 DFY ($49) · 1 Solo ($306) · 1 Studio ($613) + W3 Renewals</t>
        </is>
      </c>
      <c r="D12" t="n">
        <v>6750</v>
      </c>
      <c r="E12" t="n">
        <v>9820</v>
      </c>
      <c r="F12" t="inlineStr">
        <is>
          <t>PENDING</t>
        </is>
      </c>
    </row>
    <row r="13">
      <c r="A13" t="inlineStr">
        <is>
          <t>Week 8</t>
        </is>
      </c>
      <c r="B13" t="inlineStr">
        <is>
          <t>Dec 07 - Dec 16</t>
        </is>
      </c>
      <c r="C13" t="inlineStr">
        <is>
          <t>12 Setup ($19) · 6 DFY ($49) · 1 Solo ($306) · 1 Sovereign ($920) + W4 Renewals</t>
        </is>
      </c>
      <c r="D13" t="n">
        <v>8270</v>
      </c>
      <c r="E13" t="n">
        <v>12450</v>
      </c>
      <c r="F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2026-10-19T11:03:48Z</dcterms:created>
  <dcterms:modified xmlns:dcterms="http://purl.org/dc/terms/" xmlns:xsi="http://www.w3.org/2001/XMLSchema-instance" xsi:type="dcterms:W3CDTF">2026-10-19T11:03:48Z</dcterms:modified>
</cp:coreProperties>
</file>